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pute" sheetId="2" state="visible" r:id="rId2"/>
    <sheet xmlns:r="http://schemas.openxmlformats.org/officeDocument/2006/relationships" name="Storage" sheetId="3" state="visible" r:id="rId3"/>
    <sheet xmlns:r="http://schemas.openxmlformats.org/officeDocument/2006/relationships" name="Database" sheetId="4" state="visible" r:id="rId4"/>
    <sheet xmlns:r="http://schemas.openxmlformats.org/officeDocument/2006/relationships" name="Networking" sheetId="5" state="visible" r:id="rId5"/>
    <sheet xmlns:r="http://schemas.openxmlformats.org/officeDocument/2006/relationships" name="Licensing" sheetId="6" state="visible" r:id="rId6"/>
    <sheet xmlns:r="http://schemas.openxmlformats.org/officeDocument/2006/relationships" name="Assumptions" sheetId="7" state="visible" r:id="rId7"/>
    <sheet xmlns:r="http://schemas.openxmlformats.org/officeDocument/2006/relationships" name="Validation" sheetId="8" state="visible" r:id="rId8"/>
    <sheet xmlns:r="http://schemas.openxmlformats.org/officeDocument/2006/relationships" name="Recommendations" sheetId="9" state="visible" r:id="rId9"/>
    <sheet xmlns:r="http://schemas.openxmlformats.org/officeDocument/2006/relationships" name="Pricing" sheetId="10" state="visible" r:id="rId10"/>
    <sheet xmlns:r="http://schemas.openxmlformats.org/officeDocument/2006/relationships" name="Totals" sheetId="11" state="visible" r:id="rId11"/>
    <sheet xmlns:r="http://schemas.openxmlformats.org/officeDocument/2006/relationships" name="Yearly Cost" sheetId="12" state="visible" r:id="rId12"/>
    <sheet xmlns:r="http://schemas.openxmlformats.org/officeDocument/2006/relationships" name="Audi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73E8"/>
      <sz val="16"/>
    </font>
    <font>
      <i val="1"/>
      <color rgb="00666666"/>
      <sz val="10"/>
    </font>
    <font>
      <b val="1"/>
    </font>
    <font>
      <b val="1"/>
      <color rgb="00FFFFFF"/>
    </font>
    <font>
      <i val="1"/>
      <color rgb="00888888"/>
      <sz val="9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A73E8"/>
        <bgColor rgb="001A73E8"/>
      </patternFill>
    </fill>
    <fill>
      <patternFill patternType="solid">
        <fgColor rgb="00DCEAFB"/>
        <bgColor rgb="00DCEAFB"/>
      </patternFill>
    </fill>
    <fill>
      <patternFill patternType="solid">
        <fgColor rgb="00FCE8B2"/>
        <bgColor rgb="00FCE8B2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4" fontId="3" fillId="3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6" fillId="3" borderId="0" pivotButton="0" quotePrefix="0" xfId="0"/>
    <xf numFmtId="4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2" customWidth="1" min="3" max="3"/>
  </cols>
  <sheetData>
    <row r="1" ht="24" customHeight="1">
      <c r="A1" s="1" t="inlineStr">
        <is>
          <t>Dhan Vavhar FinOps Consulting</t>
        </is>
      </c>
    </row>
    <row r="2">
      <c r="A2" s="2" t="inlineStr">
        <is>
          <t>Google Cloud FinOps Cost Estimate</t>
        </is>
      </c>
    </row>
    <row r="3"/>
    <row r="4">
      <c r="A4" s="3" t="inlineStr">
        <is>
          <t>Project</t>
        </is>
      </c>
      <c r="B4" t="inlineStr">
        <is>
          <t>Retail Inventory API</t>
        </is>
      </c>
    </row>
    <row r="5">
      <c r="A5" s="3" t="inlineStr">
        <is>
          <t>Estimate ID</t>
        </is>
      </c>
      <c r="B5" t="inlineStr">
        <is>
          <t>29a7499f-7115-40c9-89d9-89d9dc390137</t>
        </is>
      </c>
    </row>
    <row r="6">
      <c r="A6" s="3" t="inlineStr">
        <is>
          <t>Region</t>
        </is>
      </c>
      <c r="B6" t="inlineStr">
        <is>
          <t>us-central1</t>
        </is>
      </c>
    </row>
    <row r="7">
      <c r="A7" s="3" t="inlineStr">
        <is>
          <t>Normalization Strategy</t>
        </is>
      </c>
      <c r="B7" t="inlineStr">
        <is>
          <t>Performance</t>
        </is>
      </c>
    </row>
    <row r="8">
      <c r="A8" s="3" t="inlineStr">
        <is>
          <t>Prepared By</t>
        </is>
      </c>
      <c r="B8" t="inlineStr">
        <is>
          <t>FinOps Advisory Team</t>
        </is>
      </c>
    </row>
    <row r="9">
      <c r="A9" s="3" t="inlineStr">
        <is>
          <t>Prepared For</t>
        </is>
      </c>
      <c r="B9" t="inlineStr">
        <is>
          <t>Retail Client Inc.</t>
        </is>
      </c>
    </row>
    <row r="10">
      <c r="A10" s="3" t="inlineStr">
        <is>
          <t>Generated</t>
        </is>
      </c>
      <c r="B10" t="inlineStr">
        <is>
          <t>2026-08-05 15:08 UTC</t>
        </is>
      </c>
    </row>
    <row r="11"/>
    <row r="12" ht="20" customHeight="1">
      <c r="A12" s="4" t="inlineStr">
        <is>
          <t>Metric</t>
        </is>
      </c>
      <c r="B12" s="4" t="inlineStr">
        <is>
          <t>Value</t>
        </is>
      </c>
      <c r="C12" s="4" t="inlineStr">
        <is>
          <t>Currency</t>
        </is>
      </c>
    </row>
    <row r="13">
      <c r="A13" s="5" t="inlineStr">
        <is>
          <t>Monthly Cost</t>
        </is>
      </c>
      <c r="B13" s="6" t="n">
        <v>463.64</v>
      </c>
      <c r="C13" s="5" t="inlineStr">
        <is>
          <t>USD</t>
        </is>
      </c>
    </row>
    <row r="14">
      <c r="A14" s="5" t="inlineStr">
        <is>
          <t>Yearly Cost</t>
        </is>
      </c>
      <c r="B14" s="6" t="n">
        <v>5563.68</v>
      </c>
      <c r="C14" s="5" t="inlineStr">
        <is>
          <t>USD</t>
        </is>
      </c>
    </row>
    <row r="15">
      <c r="A15" s="5" t="inlineStr">
        <is>
          <t>3-Year Cost</t>
        </is>
      </c>
      <c r="B15" s="6" t="n">
        <v>16691.04</v>
      </c>
      <c r="C15" s="5" t="inlineStr">
        <is>
          <t>USD</t>
        </is>
      </c>
    </row>
    <row r="16">
      <c r="A16" s="5" t="inlineStr">
        <is>
          <t>Monthly Discounts Applied</t>
        </is>
      </c>
      <c r="B16" s="6" t="n">
        <v>37.75</v>
      </c>
      <c r="C16" s="5" t="inlineStr">
        <is>
          <t>USD</t>
        </is>
      </c>
    </row>
    <row r="17"/>
    <row r="18" ht="20" customHeight="1">
      <c r="A18" s="4" t="inlineStr">
        <is>
          <t>Quality Indicator</t>
        </is>
      </c>
      <c r="B18" s="4" t="inlineStr">
        <is>
          <t>Count</t>
        </is>
      </c>
    </row>
    <row r="19">
      <c r="A19" s="5" t="inlineStr">
        <is>
          <t>Validation Warnings</t>
        </is>
      </c>
      <c r="B19" s="5" t="n">
        <v>3</v>
      </c>
    </row>
    <row r="20">
      <c r="A20" s="5" t="inlineStr">
        <is>
          <t>Validation Blockers</t>
        </is>
      </c>
      <c r="B20" s="5" t="n">
        <v>0</v>
      </c>
    </row>
    <row r="21">
      <c r="A21" s="5" t="inlineStr">
        <is>
          <t>Assumptions Made</t>
        </is>
      </c>
      <c r="B21" s="5" t="n">
        <v>2</v>
      </c>
    </row>
    <row r="22">
      <c r="A22" s="5" t="inlineStr">
        <is>
          <t>Architecture Components</t>
        </is>
      </c>
      <c r="B22" s="5" t="n">
        <v>11</v>
      </c>
    </row>
    <row r="23">
      <c r="A23" s="5" t="inlineStr">
        <is>
          <t>Audit Log Entries</t>
        </is>
      </c>
      <c r="B23" s="5" t="n">
        <v>24</v>
      </c>
    </row>
    <row r="24"/>
    <row r="25"/>
    <row r="26">
      <c r="A26" s="7" t="inlineStr">
        <is>
          <t>This estimate is generated from a configurable pricing catalog and is intended for budgetary planning purposes. Confirm final pricing with official Google Cloud quotes before purchase.</t>
        </is>
      </c>
    </row>
  </sheetData>
  <mergeCells count="3">
    <mergeCell ref="A26:F26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12" customWidth="1" min="3" max="3"/>
    <col width="12" customWidth="1" min="4" max="4"/>
    <col width="14" customWidth="1" min="5" max="5"/>
    <col width="16" customWidth="1" min="6" max="6"/>
    <col width="16" customWidth="1" min="7" max="7"/>
  </cols>
  <sheetData>
    <row r="1" ht="24" customHeight="1">
      <c r="A1" s="1" t="inlineStr">
        <is>
          <t>Compute</t>
        </is>
      </c>
    </row>
    <row r="2">
      <c r="A2" s="2" t="inlineStr">
        <is>
          <t>Compute Engine, GPU, and GKE cluster/node costs.</t>
        </is>
      </c>
    </row>
    <row r="3"/>
    <row r="4" ht="20" customHeight="1">
      <c r="A4" s="4" t="inlineStr">
        <is>
          <t>Description</t>
        </is>
      </c>
      <c r="B4" s="4" t="inlineStr">
        <is>
          <t>SKU</t>
        </is>
      </c>
      <c r="C4" s="4" t="inlineStr">
        <is>
          <t>Unit</t>
        </is>
      </c>
      <c r="D4" s="4" t="inlineStr">
        <is>
          <t>Quantity</t>
        </is>
      </c>
      <c r="E4" s="4" t="inlineStr">
        <is>
          <t>Unit Price</t>
        </is>
      </c>
      <c r="F4" s="4" t="inlineStr">
        <is>
          <t>Monthly Amount</t>
        </is>
      </c>
      <c r="G4" s="4" t="inlineStr">
        <is>
          <t>Source</t>
        </is>
      </c>
    </row>
    <row r="5">
      <c r="A5" s="5" t="inlineStr">
        <is>
          <t>e2-standard-4 x 2 instance(s) (us-central1)</t>
        </is>
      </c>
      <c r="B5" s="5" t="inlineStr">
        <is>
          <t>compute-e2-standard-4</t>
        </is>
      </c>
      <c r="C5" s="5" t="inlineStr">
        <is>
          <t>hour</t>
        </is>
      </c>
      <c r="D5" s="5" t="n">
        <v>1460</v>
      </c>
      <c r="E5" s="6" t="n">
        <v>0.12928</v>
      </c>
      <c r="F5" s="6" t="n">
        <v>188.75</v>
      </c>
      <c r="G5" s="5" t="inlineStr">
        <is>
          <t>mock_catalog</t>
        </is>
      </c>
    </row>
    <row r="6">
      <c r="A6" s="8" t="inlineStr">
        <is>
          <t>Subtotal</t>
        </is>
      </c>
      <c r="B6" s="9" t="n"/>
      <c r="C6" s="9" t="n"/>
      <c r="D6" s="9" t="n"/>
      <c r="E6" s="9" t="n"/>
      <c r="F6" s="10">
        <f>SUM(F5:F5)</f>
        <v/>
      </c>
      <c r="G6" s="9" t="n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12" customWidth="1" min="3" max="3"/>
    <col width="12" customWidth="1" min="4" max="4"/>
    <col width="14" customWidth="1" min="5" max="5"/>
    <col width="16" customWidth="1" min="6" max="6"/>
    <col width="16" customWidth="1" min="7" max="7"/>
  </cols>
  <sheetData>
    <row r="1" ht="24" customHeight="1">
      <c r="A1" s="1" t="inlineStr">
        <is>
          <t>Storage</t>
        </is>
      </c>
    </row>
    <row r="2">
      <c r="A2" s="2" t="inlineStr">
        <is>
          <t>Persistent Disk and snapshot storage costs.</t>
        </is>
      </c>
    </row>
    <row r="3"/>
    <row r="4" ht="20" customHeight="1">
      <c r="A4" s="4" t="inlineStr">
        <is>
          <t>Description</t>
        </is>
      </c>
      <c r="B4" s="4" t="inlineStr">
        <is>
          <t>SKU</t>
        </is>
      </c>
      <c r="C4" s="4" t="inlineStr">
        <is>
          <t>Unit</t>
        </is>
      </c>
      <c r="D4" s="4" t="inlineStr">
        <is>
          <t>Quantity</t>
        </is>
      </c>
      <c r="E4" s="4" t="inlineStr">
        <is>
          <t>Unit Price</t>
        </is>
      </c>
      <c r="F4" s="4" t="inlineStr">
        <is>
          <t>Monthly Amount</t>
        </is>
      </c>
      <c r="G4" s="4" t="inlineStr">
        <is>
          <t>Source</t>
        </is>
      </c>
    </row>
    <row r="5">
      <c r="A5" s="5" t="inlineStr">
        <is>
          <t>pd-balanced 157 GB x 2 disk(s) (us-central1)</t>
        </is>
      </c>
      <c r="B5" s="5" t="inlineStr">
        <is>
          <t>disk-pd-balanced</t>
        </is>
      </c>
      <c r="C5" s="5" t="inlineStr">
        <is>
          <t>GB-month</t>
        </is>
      </c>
      <c r="D5" s="5" t="n">
        <v>314</v>
      </c>
      <c r="E5" s="6" t="n">
        <v>0.1</v>
      </c>
      <c r="F5" s="6" t="n">
        <v>31.4</v>
      </c>
      <c r="G5" s="5" t="inlineStr">
        <is>
          <t>mock_catalog</t>
        </is>
      </c>
    </row>
    <row r="6">
      <c r="A6" s="5" t="inlineStr">
        <is>
          <t>Persistent disk snapshots, 14-day retention</t>
        </is>
      </c>
      <c r="B6" s="5" t="inlineStr">
        <is>
          <t>snapshot-storage</t>
        </is>
      </c>
      <c r="C6" s="5" t="inlineStr">
        <is>
          <t>GB-month</t>
        </is>
      </c>
      <c r="D6" s="5" t="n">
        <v>314</v>
      </c>
      <c r="E6" s="6" t="n">
        <v>0.026</v>
      </c>
      <c r="F6" s="6" t="n">
        <v>8.16</v>
      </c>
      <c r="G6" s="5" t="inlineStr">
        <is>
          <t>mock_catalog</t>
        </is>
      </c>
    </row>
    <row r="7">
      <c r="A7" s="8" t="inlineStr">
        <is>
          <t>Subtotal</t>
        </is>
      </c>
      <c r="B7" s="9" t="n"/>
      <c r="C7" s="9" t="n"/>
      <c r="D7" s="9" t="n"/>
      <c r="E7" s="9" t="n"/>
      <c r="F7" s="10">
        <f>SUM(F5:F6)</f>
        <v/>
      </c>
      <c r="G7" s="9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12" customWidth="1" min="3" max="3"/>
    <col width="12" customWidth="1" min="4" max="4"/>
    <col width="14" customWidth="1" min="5" max="5"/>
    <col width="16" customWidth="1" min="6" max="6"/>
    <col width="16" customWidth="1" min="7" max="7"/>
  </cols>
  <sheetData>
    <row r="1" ht="24" customHeight="1">
      <c r="A1" s="1" t="inlineStr">
        <is>
          <t>Database</t>
        </is>
      </c>
    </row>
    <row r="2">
      <c r="A2" s="2" t="inlineStr">
        <is>
          <t>Cloud SQL compute and storage costs.</t>
        </is>
      </c>
    </row>
    <row r="3"/>
    <row r="4" ht="20" customHeight="1">
      <c r="A4" s="4" t="inlineStr">
        <is>
          <t>Description</t>
        </is>
      </c>
      <c r="B4" s="4" t="inlineStr">
        <is>
          <t>SKU</t>
        </is>
      </c>
      <c r="C4" s="4" t="inlineStr">
        <is>
          <t>Unit</t>
        </is>
      </c>
      <c r="D4" s="4" t="inlineStr">
        <is>
          <t>Quantity</t>
        </is>
      </c>
      <c r="E4" s="4" t="inlineStr">
        <is>
          <t>Unit Price</t>
        </is>
      </c>
      <c r="F4" s="4" t="inlineStr">
        <is>
          <t>Monthly Amount</t>
        </is>
      </c>
      <c r="G4" s="4" t="inlineStr">
        <is>
          <t>Source</t>
        </is>
      </c>
    </row>
    <row r="5">
      <c r="A5" s="5" t="inlineStr">
        <is>
          <t>Cloud SQL db-custom-2-8192 (High Availability - synchronous standby) (us-central1)</t>
        </is>
      </c>
      <c r="B5" s="5" t="inlineStr">
        <is>
          <t>cloudsql-db-custom-2-8192</t>
        </is>
      </c>
      <c r="C5" s="5" t="inlineStr">
        <is>
          <t>hour</t>
        </is>
      </c>
      <c r="D5" s="5" t="n">
        <v>730</v>
      </c>
      <c r="E5" s="6" t="n">
        <v>0.2436</v>
      </c>
      <c r="F5" s="6" t="n">
        <v>177.83</v>
      </c>
      <c r="G5" s="5" t="inlineStr">
        <is>
          <t>mock_catalog</t>
        </is>
      </c>
    </row>
    <row r="6">
      <c r="A6" s="5" t="inlineStr">
        <is>
          <t>Cloud SQL storage 100 GB (us-central1)</t>
        </is>
      </c>
      <c r="B6" s="5" t="inlineStr">
        <is>
          <t>cloudsql-storage</t>
        </is>
      </c>
      <c r="C6" s="5" t="inlineStr">
        <is>
          <t>GB-month</t>
        </is>
      </c>
      <c r="D6" s="5" t="n">
        <v>100</v>
      </c>
      <c r="E6" s="6" t="n">
        <v>0.17</v>
      </c>
      <c r="F6" s="6" t="n">
        <v>17</v>
      </c>
      <c r="G6" s="5" t="inlineStr">
        <is>
          <t>mock_catalog</t>
        </is>
      </c>
    </row>
    <row r="7">
      <c r="A7" s="8" t="inlineStr">
        <is>
          <t>Subtotal</t>
        </is>
      </c>
      <c r="B7" s="9" t="n"/>
      <c r="C7" s="9" t="n"/>
      <c r="D7" s="9" t="n"/>
      <c r="E7" s="9" t="n"/>
      <c r="F7" s="10">
        <f>SUM(F5:F6)</f>
        <v/>
      </c>
      <c r="G7" s="9" t="n"/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12" customWidth="1" min="3" max="3"/>
    <col width="12" customWidth="1" min="4" max="4"/>
    <col width="14" customWidth="1" min="5" max="5"/>
    <col width="16" customWidth="1" min="6" max="6"/>
    <col width="16" customWidth="1" min="7" max="7"/>
  </cols>
  <sheetData>
    <row r="1" ht="24" customHeight="1">
      <c r="A1" s="1" t="inlineStr">
        <is>
          <t>Networking</t>
        </is>
      </c>
    </row>
    <row r="2">
      <c r="A2" s="2" t="inlineStr">
        <is>
          <t>Load balancer and data transfer (egress) costs.</t>
        </is>
      </c>
    </row>
    <row r="3"/>
    <row r="4" ht="20" customHeight="1">
      <c r="A4" s="4" t="inlineStr">
        <is>
          <t>Description</t>
        </is>
      </c>
      <c r="B4" s="4" t="inlineStr">
        <is>
          <t>SKU</t>
        </is>
      </c>
      <c r="C4" s="4" t="inlineStr">
        <is>
          <t>Unit</t>
        </is>
      </c>
      <c r="D4" s="4" t="inlineStr">
        <is>
          <t>Quantity</t>
        </is>
      </c>
      <c r="E4" s="4" t="inlineStr">
        <is>
          <t>Unit Price</t>
        </is>
      </c>
      <c r="F4" s="4" t="inlineStr">
        <is>
          <t>Monthly Amount</t>
        </is>
      </c>
      <c r="G4" s="4" t="inlineStr">
        <is>
          <t>Source</t>
        </is>
      </c>
    </row>
    <row r="5">
      <c r="A5" s="5" t="inlineStr">
        <is>
          <t>Internet egress, 500 GB/month</t>
        </is>
      </c>
      <c r="B5" s="5" t="inlineStr">
        <is>
          <t>network-egress</t>
        </is>
      </c>
      <c r="C5" s="5" t="inlineStr">
        <is>
          <t>GB</t>
        </is>
      </c>
      <c r="D5" s="5" t="n">
        <v>500</v>
      </c>
      <c r="E5" s="6" t="n">
        <v>0.12</v>
      </c>
      <c r="F5" s="6" t="n">
        <v>60</v>
      </c>
      <c r="G5" s="5" t="inlineStr">
        <is>
          <t>mock_catalog</t>
        </is>
      </c>
    </row>
    <row r="6">
      <c r="A6" s="5" t="inlineStr">
        <is>
          <t>External HTTP(S) Load Balancer (us-central1)</t>
        </is>
      </c>
      <c r="B6" s="5" t="inlineStr">
        <is>
          <t>load-balancer</t>
        </is>
      </c>
      <c r="C6" s="5" t="inlineStr">
        <is>
          <t>month</t>
        </is>
      </c>
      <c r="D6" s="5" t="n">
        <v>1</v>
      </c>
      <c r="E6" s="6" t="n">
        <v>18.25</v>
      </c>
      <c r="F6" s="6" t="n">
        <v>18.25</v>
      </c>
      <c r="G6" s="5" t="inlineStr">
        <is>
          <t>mock_catalog</t>
        </is>
      </c>
    </row>
    <row r="7">
      <c r="A7" s="8" t="inlineStr">
        <is>
          <t>Subtotal</t>
        </is>
      </c>
      <c r="B7" s="9" t="n"/>
      <c r="C7" s="9" t="n"/>
      <c r="D7" s="9" t="n"/>
      <c r="E7" s="9" t="n"/>
      <c r="F7" s="10">
        <f>SUM(F5:F6)</f>
        <v/>
      </c>
      <c r="G7" s="9" t="n"/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60" customWidth="1" min="3" max="3"/>
  </cols>
  <sheetData>
    <row r="1" ht="24" customHeight="1">
      <c r="A1" s="1" t="inlineStr">
        <is>
          <t>Licensing</t>
        </is>
      </c>
    </row>
    <row r="2">
      <c r="A2" s="2" t="inlineStr">
        <is>
          <t>Software licensing model for each priced component.</t>
        </is>
      </c>
    </row>
    <row r="3"/>
    <row r="4" ht="20" customHeight="1">
      <c r="A4" s="4" t="inlineStr">
        <is>
          <t>Component</t>
        </is>
      </c>
      <c r="B4" s="4" t="inlineStr">
        <is>
          <t>License Model</t>
        </is>
      </c>
      <c r="C4" s="4" t="inlineStr">
        <is>
          <t>Notes</t>
        </is>
      </c>
    </row>
    <row r="5">
      <c r="A5" s="5" t="inlineStr">
        <is>
          <t>Compute Engine (Linux)</t>
        </is>
      </c>
      <c r="B5" s="5" t="inlineStr">
        <is>
          <t>No additional license fee</t>
        </is>
      </c>
      <c r="C5" s="5" t="inlineStr">
        <is>
          <t>Standard public Linux images incur no separate OS license charge.</t>
        </is>
      </c>
    </row>
    <row r="6">
      <c r="A6" s="5" t="inlineStr">
        <is>
          <t>Cloud SQL (postgres)</t>
        </is>
      </c>
      <c r="B6" s="5" t="inlineStr">
        <is>
          <t>License Included</t>
        </is>
      </c>
      <c r="C6" s="5" t="inlineStr">
        <is>
          <t>License Included - open-source engine; no separate license fee.</t>
        </is>
      </c>
    </row>
    <row r="7"/>
    <row r="8">
      <c r="A8" s="7" t="inlineStr">
        <is>
          <t>Operating system selection (e.g. Windows Server) is not yet part of the questionnaire; this estimate assumes Linux compute instances. Re-run with Windows machine images once that field is added to see BYOL/License-Included cost differences.</t>
        </is>
      </c>
    </row>
  </sheetData>
  <mergeCells count="3">
    <mergeCell ref="A2:F2"/>
    <mergeCell ref="A8:C8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0" customWidth="1" min="3" max="3"/>
    <col width="60" customWidth="1" min="4" max="4"/>
    <col width="16" customWidth="1" min="5" max="5"/>
  </cols>
  <sheetData>
    <row r="1" ht="24" customHeight="1">
      <c r="A1" s="1" t="inlineStr">
        <is>
          <t>Assumptions</t>
        </is>
      </c>
    </row>
    <row r="2">
      <c r="A2" s="2" t="inlineStr">
        <is>
          <t>Every substitution made while normalizing the request to a valid Google Cloud configuration.</t>
        </is>
      </c>
    </row>
    <row r="3"/>
    <row r="4" ht="20" customHeight="1">
      <c r="A4" s="4" t="inlineStr">
        <is>
          <t>Field</t>
        </is>
      </c>
      <c r="B4" s="4" t="inlineStr">
        <is>
          <t>Requested Value</t>
        </is>
      </c>
      <c r="C4" s="4" t="inlineStr">
        <is>
          <t>Used Value</t>
        </is>
      </c>
      <c r="D4" s="4" t="inlineStr">
        <is>
          <t>Reason</t>
        </is>
      </c>
      <c r="E4" s="4" t="inlineStr">
        <is>
          <t>Strategy</t>
        </is>
      </c>
    </row>
    <row r="5">
      <c r="A5" s="5" t="inlineStr">
        <is>
          <t>compute.vcpu</t>
        </is>
      </c>
      <c r="B5" s="5" t="inlineStr">
        <is>
          <t>3</t>
        </is>
      </c>
      <c r="C5" s="5" t="inlineStr">
        <is>
          <t>4</t>
        </is>
      </c>
      <c r="D5" s="5" t="inlineStr">
        <is>
          <t>3 vCPU configuration does not exist in the e2 family. Selected nearest higher supported value (performance strategy).</t>
        </is>
      </c>
      <c r="E5" s="5" t="inlineStr">
        <is>
          <t>performance</t>
        </is>
      </c>
    </row>
    <row r="6">
      <c r="A6" s="5" t="inlineStr">
        <is>
          <t>compute.ram_gb</t>
        </is>
      </c>
      <c r="B6" s="5" t="inlineStr">
        <is>
          <t>10.0</t>
        </is>
      </c>
      <c r="C6" s="5" t="inlineStr">
        <is>
          <t>16.0</t>
        </is>
      </c>
      <c r="D6" s="5" t="inlineStr">
        <is>
          <t>RAM is fixed per machine type in the e2 family; 'e2-standard-4' provides 16.0 GB.</t>
        </is>
      </c>
      <c r="E6" s="5" t="inlineStr">
        <is>
          <t>performance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6" customWidth="1" min="4" max="4"/>
    <col width="8" customWidth="1" min="5" max="5"/>
    <col width="12" customWidth="1" min="6" max="6"/>
    <col width="50" customWidth="1" min="7" max="7"/>
    <col width="50" customWidth="1" min="8" max="8"/>
  </cols>
  <sheetData>
    <row r="1" ht="24" customHeight="1">
      <c r="A1" s="1" t="inlineStr">
        <is>
          <t>Validation Report</t>
        </is>
      </c>
    </row>
    <row r="2">
      <c r="A2" s="2" t="inlineStr">
        <is>
          <t>0 blocker(s), 3 warning(s) found across 11 checks.</t>
        </is>
      </c>
    </row>
    <row r="3"/>
    <row r="4" ht="20" customHeight="1">
      <c r="A4" s="4" t="inlineStr">
        <is>
          <t>Field</t>
        </is>
      </c>
      <c r="B4" s="4" t="inlineStr">
        <is>
          <t>Rule</t>
        </is>
      </c>
      <c r="C4" s="4" t="inlineStr">
        <is>
          <t>Requested</t>
        </is>
      </c>
      <c r="D4" s="4" t="inlineStr">
        <is>
          <t>Supported</t>
        </is>
      </c>
      <c r="E4" s="4" t="inlineStr">
        <is>
          <t>Valid</t>
        </is>
      </c>
      <c r="F4" s="4" t="inlineStr">
        <is>
          <t>Severity</t>
        </is>
      </c>
      <c r="G4" s="4" t="inlineStr">
        <is>
          <t>Reason</t>
        </is>
      </c>
      <c r="H4" s="4" t="inlineStr">
        <is>
          <t>Recommendation</t>
        </is>
      </c>
    </row>
    <row r="5">
      <c r="A5" s="5" t="inlineStr">
        <is>
          <t>compute.vcpu</t>
        </is>
      </c>
      <c r="B5" s="5" t="inlineStr">
        <is>
          <t>cpu_validation</t>
        </is>
      </c>
      <c r="C5" s="5" t="inlineStr">
        <is>
          <t>3</t>
        </is>
      </c>
      <c r="D5" s="5" t="inlineStr">
        <is>
          <t>-</t>
        </is>
      </c>
      <c r="E5" s="5" t="inlineStr">
        <is>
          <t>No</t>
        </is>
      </c>
      <c r="F5" s="11" t="inlineStr">
        <is>
          <t>WARNING</t>
        </is>
      </c>
      <c r="G5" s="5" t="inlineStr">
        <is>
          <t>3 vCPU does not exist as a standard configuration in the e2 family. Valid options: [1, 2, 4, 8, 16, 32].</t>
        </is>
      </c>
      <c r="H5" s="5" t="inlineStr">
        <is>
          <t>Normalize to the nearest supported vCPU count per the configured strategy.</t>
        </is>
      </c>
    </row>
    <row r="6">
      <c r="A6" s="5" t="inlineStr">
        <is>
          <t>compute.ram_gb</t>
        </is>
      </c>
      <c r="B6" s="5" t="inlineStr">
        <is>
          <t>ram_validation</t>
        </is>
      </c>
      <c r="C6" s="5" t="inlineStr">
        <is>
          <t>10.0</t>
        </is>
      </c>
      <c r="D6" s="5" t="inlineStr">
        <is>
          <t>-</t>
        </is>
      </c>
      <c r="E6" s="5" t="inlineStr">
        <is>
          <t>No</t>
        </is>
      </c>
      <c r="F6" s="11" t="inlineStr">
        <is>
          <t>WARNING</t>
        </is>
      </c>
      <c r="G6" s="5" t="inlineStr">
        <is>
          <t>10.0 GB RAM is not offered as a standalone configuration in the e2 family. Valid RAM values: [1.0, 2.0, 4.0, 8.0, 16.0, 32.0, 64.0, 128.0].</t>
        </is>
      </c>
      <c r="H6" s="5" t="inlineStr">
        <is>
          <t>Normalize to the RAM amount tied to the nearest supported vCPU/RAM pairing.</t>
        </is>
      </c>
    </row>
    <row r="7">
      <c r="A7" s="5" t="inlineStr">
        <is>
          <t>compute.machine_family</t>
        </is>
      </c>
      <c r="B7" s="5" t="inlineStr">
        <is>
          <t>machine_family_validation</t>
        </is>
      </c>
      <c r="C7" s="5" t="inlineStr">
        <is>
          <t>e2 (3 vCPU / 10.0 GB)</t>
        </is>
      </c>
      <c r="D7" s="5" t="inlineStr">
        <is>
          <t>-</t>
        </is>
      </c>
      <c r="E7" s="5" t="inlineStr">
        <is>
          <t>No</t>
        </is>
      </c>
      <c r="F7" s="11" t="inlineStr">
        <is>
          <t>WARNING</t>
        </is>
      </c>
      <c r="G7" s="5" t="inlineStr">
        <is>
          <t>No exact 'e2' machine type offers 3 vCPU with 10.0 GB RAM together.</t>
        </is>
      </c>
      <c r="H7" s="5" t="inlineStr">
        <is>
          <t>Normalization engine will select the closest predefined machine type in this family, or an alternative family if none fits within tolerance.</t>
        </is>
      </c>
    </row>
    <row r="8">
      <c r="A8" s="5" t="inlineStr">
        <is>
          <t>region</t>
        </is>
      </c>
      <c r="B8" s="5" t="inlineStr">
        <is>
          <t>region_validation</t>
        </is>
      </c>
      <c r="C8" s="5" t="inlineStr">
        <is>
          <t>us-central1</t>
        </is>
      </c>
      <c r="D8" s="5" t="inlineStr">
        <is>
          <t>us-central1</t>
        </is>
      </c>
      <c r="E8" s="5" t="inlineStr">
        <is>
          <t>Yes</t>
        </is>
      </c>
      <c r="F8" s="12" t="inlineStr">
        <is>
          <t>INFO</t>
        </is>
      </c>
      <c r="G8" s="5" t="inlineStr">
        <is>
          <t>'us-central1' is a supported Google Cloud region.</t>
        </is>
      </c>
      <c r="H8" s="5" t="inlineStr">
        <is>
          <t>No action needed.</t>
        </is>
      </c>
    </row>
    <row r="9">
      <c r="A9" s="5" t="inlineStr">
        <is>
          <t>storage.size_gb</t>
        </is>
      </c>
      <c r="B9" s="5" t="inlineStr">
        <is>
          <t>disk_validation</t>
        </is>
      </c>
      <c r="C9" s="5" t="inlineStr">
        <is>
          <t>157</t>
        </is>
      </c>
      <c r="D9" s="5" t="inlineStr">
        <is>
          <t>157</t>
        </is>
      </c>
      <c r="E9" s="5" t="inlineStr">
        <is>
          <t>Yes</t>
        </is>
      </c>
      <c r="F9" s="12" t="inlineStr">
        <is>
          <t>INFO</t>
        </is>
      </c>
      <c r="G9" s="5" t="inlineStr">
        <is>
          <t>157 GB is within the valid range for 'pd-balanced'.</t>
        </is>
      </c>
      <c r="H9" s="5" t="inlineStr">
        <is>
          <t>No action needed.</t>
        </is>
      </c>
    </row>
    <row r="10">
      <c r="A10" s="5" t="inlineStr">
        <is>
          <t>storage.snapshot_retention_days</t>
        </is>
      </c>
      <c r="B10" s="5" t="inlineStr">
        <is>
          <t>cloud_storage_validation</t>
        </is>
      </c>
      <c r="C10" s="5" t="inlineStr">
        <is>
          <t>14</t>
        </is>
      </c>
      <c r="D10" s="5" t="inlineStr">
        <is>
          <t>14</t>
        </is>
      </c>
      <c r="E10" s="5" t="inlineStr">
        <is>
          <t>Yes</t>
        </is>
      </c>
      <c r="F10" s="12" t="inlineStr">
        <is>
          <t>INFO</t>
        </is>
      </c>
      <c r="G10" s="5" t="inlineStr">
        <is>
          <t>Snapshot retention period is within a typical operational range.</t>
        </is>
      </c>
      <c r="H10" s="5" t="inlineStr">
        <is>
          <t>No action needed.</t>
        </is>
      </c>
    </row>
    <row r="11">
      <c r="A11" s="5" t="inlineStr">
        <is>
          <t>database.vcpu_ram</t>
        </is>
      </c>
      <c r="B11" s="5" t="inlineStr">
        <is>
          <t>cloud_sql_tier_validation</t>
        </is>
      </c>
      <c r="C11" s="5" t="inlineStr">
        <is>
          <t>2 vCPU / 8.0 GB</t>
        </is>
      </c>
      <c r="D11" s="5" t="inlineStr">
        <is>
          <t>2 vCPU / 8.0 GB</t>
        </is>
      </c>
      <c r="E11" s="5" t="inlineStr">
        <is>
          <t>Yes</t>
        </is>
      </c>
      <c r="F11" s="12" t="inlineStr">
        <is>
          <t>INFO</t>
        </is>
      </c>
      <c r="G11" s="5" t="inlineStr">
        <is>
          <t>Matches Cloud SQL tier 'db-custom-2-8192'.</t>
        </is>
      </c>
      <c r="H11" s="5" t="inlineStr">
        <is>
          <t>No action needed.</t>
        </is>
      </c>
    </row>
    <row r="12">
      <c r="A12" s="5" t="inlineStr">
        <is>
          <t>network.load_balancer</t>
        </is>
      </c>
      <c r="B12" s="5" t="inlineStr">
        <is>
          <t>load_balancer_validation</t>
        </is>
      </c>
      <c r="C12" s="5" t="inlineStr">
        <is>
          <t>True</t>
        </is>
      </c>
      <c r="D12" s="5" t="inlineStr">
        <is>
          <t>True</t>
        </is>
      </c>
      <c r="E12" s="5" t="inlineStr">
        <is>
          <t>Yes</t>
        </is>
      </c>
      <c r="F12" s="12" t="inlineStr">
        <is>
          <t>INFO</t>
        </is>
      </c>
      <c r="G12" s="5" t="inlineStr">
        <is>
          <t>Load balancer / CDN configuration is internally consistent.</t>
        </is>
      </c>
      <c r="H12" s="5" t="inlineStr">
        <is>
          <t>No action needed.</t>
        </is>
      </c>
    </row>
    <row r="13">
      <c r="A13" s="5" t="inlineStr">
        <is>
          <t>network.estimated_egress_gb_per_month</t>
        </is>
      </c>
      <c r="B13" s="5" t="inlineStr">
        <is>
          <t>network_validation</t>
        </is>
      </c>
      <c r="C13" s="5" t="inlineStr">
        <is>
          <t>500.0</t>
        </is>
      </c>
      <c r="D13" s="5" t="inlineStr">
        <is>
          <t>500.0</t>
        </is>
      </c>
      <c r="E13" s="5" t="inlineStr">
        <is>
          <t>Yes</t>
        </is>
      </c>
      <c r="F13" s="12" t="inlineStr">
        <is>
          <t>INFO</t>
        </is>
      </c>
      <c r="G13" s="5" t="inlineStr">
        <is>
          <t>Egress volume is within typical ranges.</t>
        </is>
      </c>
      <c r="H13" s="5" t="inlineStr">
        <is>
          <t>No action needed.</t>
        </is>
      </c>
    </row>
    <row r="14">
      <c r="A14" s="5" t="inlineStr">
        <is>
          <t>availability.target_uptime_percent</t>
        </is>
      </c>
      <c r="B14" s="5" t="inlineStr">
        <is>
          <t>availability_validation</t>
        </is>
      </c>
      <c r="C14" s="5" t="inlineStr">
        <is>
          <t>99.95</t>
        </is>
      </c>
      <c r="D14" s="5" t="inlineStr">
        <is>
          <t>99.95</t>
        </is>
      </c>
      <c r="E14" s="5" t="inlineStr">
        <is>
          <t>Yes</t>
        </is>
      </c>
      <c r="F14" s="12" t="inlineStr">
        <is>
          <t>INFO</t>
        </is>
      </c>
      <c r="G14" s="5" t="inlineStr">
        <is>
          <t>Uptime target is achievable with the requested configuration.</t>
        </is>
      </c>
      <c r="H14" s="5" t="inlineStr">
        <is>
          <t>No action needed.</t>
        </is>
      </c>
    </row>
    <row r="15">
      <c r="A15" s="5" t="inlineStr">
        <is>
          <t>availability.backup_frequency</t>
        </is>
      </c>
      <c r="B15" s="5" t="inlineStr">
        <is>
          <t>backup_validation</t>
        </is>
      </c>
      <c r="C15" s="5" t="inlineStr">
        <is>
          <t>daily</t>
        </is>
      </c>
      <c r="D15" s="5" t="inlineStr">
        <is>
          <t>daily</t>
        </is>
      </c>
      <c r="E15" s="5" t="inlineStr">
        <is>
          <t>Yes</t>
        </is>
      </c>
      <c r="F15" s="12" t="inlineStr">
        <is>
          <t>INFO</t>
        </is>
      </c>
      <c r="G15" s="5" t="inlineStr">
        <is>
          <t>Backup configuration is consistent with stated recovery requirements.</t>
        </is>
      </c>
      <c r="H15" s="5" t="inlineStr">
        <is>
          <t>No action needed.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60" customWidth="1" min="3" max="3"/>
  </cols>
  <sheetData>
    <row r="1" ht="24" customHeight="1">
      <c r="A1" s="1" t="inlineStr">
        <is>
          <t>Architecture Recommendations</t>
        </is>
      </c>
    </row>
    <row r="2">
      <c r="A2" s="2" t="inlineStr">
        <is>
          <t>Recommended architecture for 'Retail Inventory API' in us-central1: 11 components spanning Backend, Backup, Database, Disaster Recovery, Load Balancer, Monitoring, Networking, Security, Storage.</t>
        </is>
      </c>
    </row>
    <row r="3"/>
    <row r="4" ht="20" customHeight="1">
      <c r="A4" s="4" t="inlineStr">
        <is>
          <t>Layer</t>
        </is>
      </c>
      <c r="B4" s="4" t="inlineStr">
        <is>
          <t>Recommended Service</t>
        </is>
      </c>
      <c r="C4" s="4" t="inlineStr">
        <is>
          <t>Rationale</t>
        </is>
      </c>
    </row>
    <row r="5">
      <c r="A5" s="5" t="inlineStr">
        <is>
          <t>Backend</t>
        </is>
      </c>
      <c r="B5" s="5" t="inlineStr">
        <is>
          <t>Compute Engine (e2-standard-4 x 2)</t>
        </is>
      </c>
      <c r="C5" s="5" t="inlineStr">
        <is>
          <t>Directly sized VM instances matching the requested/normalized compute profile.</t>
        </is>
      </c>
    </row>
    <row r="6">
      <c r="A6" s="5" t="inlineStr">
        <is>
          <t>Database</t>
        </is>
      </c>
      <c r="B6" s="5" t="inlineStr">
        <is>
          <t>Cloud SQL (postgres, db-custom-2-8192) with High Availability (regional failover)</t>
        </is>
      </c>
      <c r="C6" s="5" t="inlineStr">
        <is>
          <t>Fully managed relational database matching the requested engine and sizing.</t>
        </is>
      </c>
    </row>
    <row r="7">
      <c r="A7" s="5" t="inlineStr">
        <is>
          <t>Load Balancer</t>
        </is>
      </c>
      <c r="B7" s="5" t="inlineStr">
        <is>
          <t>External HTTP(S) Load Balancer</t>
        </is>
      </c>
      <c r="C7" s="5" t="inlineStr">
        <is>
          <t>Distributes traffic across backend instances/nodes and terminates TLS.</t>
        </is>
      </c>
    </row>
    <row r="8">
      <c r="A8" s="5" t="inlineStr">
        <is>
          <t>Security</t>
        </is>
      </c>
      <c r="B8" s="5" t="inlineStr">
        <is>
          <t>Cloud Armor</t>
        </is>
      </c>
      <c r="C8" s="5" t="inlineStr">
        <is>
          <t>WAF and DDoS protection at the load balancer edge, recommended whenever a public LB is present.</t>
        </is>
      </c>
    </row>
    <row r="9">
      <c r="A9" s="5" t="inlineStr">
        <is>
          <t>Networking</t>
        </is>
      </c>
      <c r="B9" s="5" t="inlineStr">
        <is>
          <t>Cloud CDN</t>
        </is>
      </c>
      <c r="C9" s="5" t="inlineStr">
        <is>
          <t>Edge caching for static/cacheable content to reduce latency and origin load.</t>
        </is>
      </c>
    </row>
    <row r="10">
      <c r="A10" s="5" t="inlineStr">
        <is>
          <t>Storage</t>
        </is>
      </c>
      <c r="B10" s="5" t="inlineStr">
        <is>
          <t>Persistent Disk (pd-balanced)</t>
        </is>
      </c>
      <c r="C10" s="5" t="inlineStr">
        <is>
          <t>Block storage attached to compute instances.</t>
        </is>
      </c>
    </row>
    <row r="11">
      <c r="A11" s="5" t="inlineStr">
        <is>
          <t>Backup</t>
        </is>
      </c>
      <c r="B11" s="5" t="inlineStr">
        <is>
          <t>Scheduled Persistent Disk Snapshots</t>
        </is>
      </c>
      <c r="C11" s="5" t="inlineStr">
        <is>
          <t>Automated snapshots with 14-day retention.</t>
        </is>
      </c>
    </row>
    <row r="12">
      <c r="A12" s="5" t="inlineStr">
        <is>
          <t>Disaster Recovery</t>
        </is>
      </c>
      <c r="B12" s="5" t="inlineStr">
        <is>
          <t>Multi-region backup replication</t>
        </is>
      </c>
      <c r="C12" s="5" t="inlineStr">
        <is>
          <t>Cross-region snapshot/backup replication to support recovery objectives.</t>
        </is>
      </c>
    </row>
    <row r="13">
      <c r="A13" s="5" t="inlineStr">
        <is>
          <t>Networking</t>
        </is>
      </c>
      <c r="B13" s="5" t="inlineStr">
        <is>
          <t>Multi-zone deployment</t>
        </is>
      </c>
      <c r="C13" s="5" t="inlineStr">
        <is>
          <t>Spreads instances across zones within the region to survive a single-zone outage.</t>
        </is>
      </c>
    </row>
    <row r="14">
      <c r="A14" s="5" t="inlineStr">
        <is>
          <t>Monitoring</t>
        </is>
      </c>
      <c r="B14" s="5" t="inlineStr">
        <is>
          <t>Cloud Monitoring + Cloud Logging</t>
        </is>
      </c>
      <c r="C14" s="5" t="inlineStr">
        <is>
          <t>Standard observability stack for metrics, uptime checks, and centralized logs.</t>
        </is>
      </c>
    </row>
    <row r="15">
      <c r="A15" s="5" t="inlineStr">
        <is>
          <t>Security</t>
        </is>
      </c>
      <c r="B15" s="5" t="inlineStr">
        <is>
          <t>IAM least-privilege roles + Secret Manager</t>
        </is>
      </c>
      <c r="C15" s="5" t="inlineStr">
        <is>
          <t>Baseline access control and secrets management for any production workload.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22" customWidth="1" min="3" max="3"/>
    <col width="12" customWidth="1" min="4" max="4"/>
    <col width="12" customWidth="1" min="5" max="5"/>
    <col width="14" customWidth="1" min="6" max="6"/>
    <col width="16" customWidth="1" min="7" max="7"/>
    <col width="16" customWidth="1" min="8" max="8"/>
  </cols>
  <sheetData>
    <row r="1" ht="24" customHeight="1">
      <c r="A1" s="1" t="inlineStr">
        <is>
          <t>Itemized Pricing</t>
        </is>
      </c>
    </row>
    <row r="2">
      <c r="A2" s="2" t="inlineStr">
        <is>
          <t>All priced line items, sourced from: mock_catalog.</t>
        </is>
      </c>
    </row>
    <row r="3"/>
    <row r="4" ht="20" customHeight="1">
      <c r="A4" s="4" t="inlineStr">
        <is>
          <t>Category</t>
        </is>
      </c>
      <c r="B4" s="4" t="inlineStr">
        <is>
          <t>Description</t>
        </is>
      </c>
      <c r="C4" s="4" t="inlineStr">
        <is>
          <t>SKU</t>
        </is>
      </c>
      <c r="D4" s="4" t="inlineStr">
        <is>
          <t>Unit</t>
        </is>
      </c>
      <c r="E4" s="4" t="inlineStr">
        <is>
          <t>Quantity</t>
        </is>
      </c>
      <c r="F4" s="4" t="inlineStr">
        <is>
          <t>Unit Price</t>
        </is>
      </c>
      <c r="G4" s="4" t="inlineStr">
        <is>
          <t>Monthly Amount</t>
        </is>
      </c>
      <c r="H4" s="4" t="inlineStr">
        <is>
          <t>Source</t>
        </is>
      </c>
    </row>
    <row r="5">
      <c r="A5" s="5" t="inlineStr">
        <is>
          <t>Compute</t>
        </is>
      </c>
      <c r="B5" s="5" t="inlineStr">
        <is>
          <t>e2-standard-4 x 2 instance(s) (us-central1)</t>
        </is>
      </c>
      <c r="C5" s="5" t="inlineStr">
        <is>
          <t>compute-e2-standard-4</t>
        </is>
      </c>
      <c r="D5" s="5" t="inlineStr">
        <is>
          <t>hour</t>
        </is>
      </c>
      <c r="E5" s="5" t="n">
        <v>1460</v>
      </c>
      <c r="F5" s="6" t="n">
        <v>0.12928</v>
      </c>
      <c r="G5" s="6" t="n">
        <v>188.75</v>
      </c>
      <c r="H5" s="5" t="inlineStr">
        <is>
          <t>mock_catalog</t>
        </is>
      </c>
    </row>
    <row r="6">
      <c r="A6" s="5" t="inlineStr">
        <is>
          <t>Storage</t>
        </is>
      </c>
      <c r="B6" s="5" t="inlineStr">
        <is>
          <t>pd-balanced 157 GB x 2 disk(s) (us-central1)</t>
        </is>
      </c>
      <c r="C6" s="5" t="inlineStr">
        <is>
          <t>disk-pd-balanced</t>
        </is>
      </c>
      <c r="D6" s="5" t="inlineStr">
        <is>
          <t>GB-month</t>
        </is>
      </c>
      <c r="E6" s="5" t="n">
        <v>314</v>
      </c>
      <c r="F6" s="6" t="n">
        <v>0.1</v>
      </c>
      <c r="G6" s="6" t="n">
        <v>31.4</v>
      </c>
      <c r="H6" s="5" t="inlineStr">
        <is>
          <t>mock_catalog</t>
        </is>
      </c>
    </row>
    <row r="7">
      <c r="A7" s="5" t="inlineStr">
        <is>
          <t>Storage</t>
        </is>
      </c>
      <c r="B7" s="5" t="inlineStr">
        <is>
          <t>Persistent disk snapshots, 14-day retention</t>
        </is>
      </c>
      <c r="C7" s="5" t="inlineStr">
        <is>
          <t>snapshot-storage</t>
        </is>
      </c>
      <c r="D7" s="5" t="inlineStr">
        <is>
          <t>GB-month</t>
        </is>
      </c>
      <c r="E7" s="5" t="n">
        <v>314</v>
      </c>
      <c r="F7" s="6" t="n">
        <v>0.026</v>
      </c>
      <c r="G7" s="6" t="n">
        <v>8.16</v>
      </c>
      <c r="H7" s="5" t="inlineStr">
        <is>
          <t>mock_catalog</t>
        </is>
      </c>
    </row>
    <row r="8">
      <c r="A8" s="5" t="inlineStr">
        <is>
          <t>Database</t>
        </is>
      </c>
      <c r="B8" s="5" t="inlineStr">
        <is>
          <t>Cloud SQL db-custom-2-8192 (High Availability - synchronous standby) (us-central1)</t>
        </is>
      </c>
      <c r="C8" s="5" t="inlineStr">
        <is>
          <t>cloudsql-db-custom-2-8192</t>
        </is>
      </c>
      <c r="D8" s="5" t="inlineStr">
        <is>
          <t>hour</t>
        </is>
      </c>
      <c r="E8" s="5" t="n">
        <v>730</v>
      </c>
      <c r="F8" s="6" t="n">
        <v>0.2436</v>
      </c>
      <c r="G8" s="6" t="n">
        <v>177.83</v>
      </c>
      <c r="H8" s="5" t="inlineStr">
        <is>
          <t>mock_catalog</t>
        </is>
      </c>
    </row>
    <row r="9">
      <c r="A9" s="5" t="inlineStr">
        <is>
          <t>Database</t>
        </is>
      </c>
      <c r="B9" s="5" t="inlineStr">
        <is>
          <t>Cloud SQL storage 100 GB (us-central1)</t>
        </is>
      </c>
      <c r="C9" s="5" t="inlineStr">
        <is>
          <t>cloudsql-storage</t>
        </is>
      </c>
      <c r="D9" s="5" t="inlineStr">
        <is>
          <t>GB-month</t>
        </is>
      </c>
      <c r="E9" s="5" t="n">
        <v>100</v>
      </c>
      <c r="F9" s="6" t="n">
        <v>0.17</v>
      </c>
      <c r="G9" s="6" t="n">
        <v>17</v>
      </c>
      <c r="H9" s="5" t="inlineStr">
        <is>
          <t>mock_catalog</t>
        </is>
      </c>
    </row>
    <row r="10">
      <c r="A10" s="5" t="inlineStr">
        <is>
          <t>Network</t>
        </is>
      </c>
      <c r="B10" s="5" t="inlineStr">
        <is>
          <t>Internet egress, 500 GB/month</t>
        </is>
      </c>
      <c r="C10" s="5" t="inlineStr">
        <is>
          <t>network-egress</t>
        </is>
      </c>
      <c r="D10" s="5" t="inlineStr">
        <is>
          <t>GB</t>
        </is>
      </c>
      <c r="E10" s="5" t="n">
        <v>500</v>
      </c>
      <c r="F10" s="6" t="n">
        <v>0.12</v>
      </c>
      <c r="G10" s="6" t="n">
        <v>60</v>
      </c>
      <c r="H10" s="5" t="inlineStr">
        <is>
          <t>mock_catalog</t>
        </is>
      </c>
    </row>
    <row r="11">
      <c r="A11" s="5" t="inlineStr">
        <is>
          <t>Network</t>
        </is>
      </c>
      <c r="B11" s="5" t="inlineStr">
        <is>
          <t>External HTTP(S) Load Balancer (us-central1)</t>
        </is>
      </c>
      <c r="C11" s="5" t="inlineStr">
        <is>
          <t>load-balancer</t>
        </is>
      </c>
      <c r="D11" s="5" t="inlineStr">
        <is>
          <t>month</t>
        </is>
      </c>
      <c r="E11" s="5" t="n">
        <v>1</v>
      </c>
      <c r="F11" s="6" t="n">
        <v>18.25</v>
      </c>
      <c r="G11" s="6" t="n">
        <v>18.25</v>
      </c>
      <c r="H11" s="5" t="inlineStr">
        <is>
          <t>mock_catalog</t>
        </is>
      </c>
    </row>
    <row r="12">
      <c r="A12" s="8" t="inlineStr">
        <is>
          <t>Subtotal (Monthly)</t>
        </is>
      </c>
      <c r="B12" s="9" t="n"/>
      <c r="C12" s="9" t="n"/>
      <c r="D12" s="9" t="n"/>
      <c r="E12" s="9" t="n"/>
      <c r="F12" s="9" t="n"/>
      <c r="G12" s="10">
        <f>SUM(G5:G11)</f>
        <v/>
      </c>
      <c r="H12" s="9" t="n"/>
    </row>
  </sheetData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</cols>
  <sheetData>
    <row r="1" ht="24" customHeight="1">
      <c r="A1" s="1" t="inlineStr">
        <is>
          <t>Totals</t>
        </is>
      </c>
    </row>
    <row r="2">
      <c r="A2" s="2" t="inlineStr">
        <is>
          <t>Monthly cost roll-up, including discounts, tax, and support.</t>
        </is>
      </c>
    </row>
    <row r="3"/>
    <row r="4" ht="20" customHeight="1">
      <c r="A4" s="4" t="inlineStr">
        <is>
          <t>Line</t>
        </is>
      </c>
      <c r="B4" s="4" t="inlineStr">
        <is>
          <t>Amount</t>
        </is>
      </c>
      <c r="C4" s="4" t="inlineStr">
        <is>
          <t>Currency</t>
        </is>
      </c>
    </row>
    <row r="5">
      <c r="A5" s="5" t="inlineStr">
        <is>
          <t>Subtotal</t>
        </is>
      </c>
      <c r="B5" s="6">
        <f>Pricing!G12</f>
        <v/>
      </c>
      <c r="C5" s="5" t="inlineStr">
        <is>
          <t>USD</t>
        </is>
      </c>
    </row>
    <row r="6">
      <c r="A6" s="5" t="inlineStr">
        <is>
          <t>Discount: Sustained Use Discount (-20.0%)</t>
        </is>
      </c>
      <c r="B6" s="6" t="n">
        <v>-37.75</v>
      </c>
      <c r="C6" s="5" t="inlineStr">
        <is>
          <t>USD</t>
        </is>
      </c>
    </row>
    <row r="7">
      <c r="A7" s="5" t="inlineStr">
        <is>
          <t>After Discount</t>
        </is>
      </c>
      <c r="B7" s="6">
        <f>B5+SUM(B6:B6)</f>
        <v/>
      </c>
      <c r="C7" s="5" t="inlineStr">
        <is>
          <t>USD</t>
        </is>
      </c>
    </row>
    <row r="8">
      <c r="A8" s="5" t="inlineStr">
        <is>
          <t>Tax (0.0%)</t>
        </is>
      </c>
      <c r="B8" s="6" t="n">
        <v>0</v>
      </c>
      <c r="C8" s="5" t="inlineStr">
        <is>
          <t>USD</t>
        </is>
      </c>
    </row>
    <row r="9">
      <c r="A9" s="5" t="inlineStr">
        <is>
          <t>Support Plan (0.0%)</t>
        </is>
      </c>
      <c r="B9" s="6" t="n">
        <v>0</v>
      </c>
      <c r="C9" s="5" t="inlineStr">
        <is>
          <t>USD</t>
        </is>
      </c>
    </row>
    <row r="10">
      <c r="A10" s="13" t="inlineStr">
        <is>
          <t>Total Monthly Cost</t>
        </is>
      </c>
      <c r="B10" s="14">
        <f>B7+B8+B9</f>
        <v/>
      </c>
      <c r="C10" s="9" t="inlineStr">
        <is>
          <t>USD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</cols>
  <sheetData>
    <row r="1" ht="24" customHeight="1">
      <c r="A1" s="1" t="inlineStr">
        <is>
          <t>Yearly Cost Projection</t>
        </is>
      </c>
    </row>
    <row r="2">
      <c r="A2" s="2" t="inlineStr">
        <is>
          <t>Monthly total extrapolated to yearly and 3-year horizons.</t>
        </is>
      </c>
    </row>
    <row r="3"/>
    <row r="4" ht="20" customHeight="1">
      <c r="A4" s="4" t="inlineStr">
        <is>
          <t>Period</t>
        </is>
      </c>
      <c r="B4" s="4" t="inlineStr">
        <is>
          <t>Total Cost</t>
        </is>
      </c>
      <c r="C4" s="4" t="inlineStr">
        <is>
          <t>Currency</t>
        </is>
      </c>
    </row>
    <row r="5">
      <c r="A5" s="5" t="inlineStr">
        <is>
          <t>Monthly</t>
        </is>
      </c>
      <c r="B5" s="6">
        <f>Totals!B10</f>
        <v/>
      </c>
      <c r="C5" s="5" t="inlineStr">
        <is>
          <t>USD</t>
        </is>
      </c>
    </row>
    <row r="6">
      <c r="A6" s="5" t="inlineStr">
        <is>
          <t>Yearly (x12)</t>
        </is>
      </c>
      <c r="B6" s="6">
        <f>B5*12</f>
        <v/>
      </c>
      <c r="C6" s="5" t="inlineStr">
        <is>
          <t>USD</t>
        </is>
      </c>
    </row>
    <row r="7">
      <c r="A7" s="5" t="inlineStr">
        <is>
          <t>3-Year (x36)</t>
        </is>
      </c>
      <c r="B7" s="6">
        <f>B5*36</f>
        <v/>
      </c>
      <c r="C7" s="5" t="inlineStr">
        <is>
          <t>USD</t>
        </is>
      </c>
    </row>
    <row r="8"/>
    <row r="9" ht="20" customHeight="1">
      <c r="A9" s="4" t="inlineStr">
        <is>
          <t>Month</t>
        </is>
      </c>
      <c r="B9" s="4" t="inlineStr">
        <is>
          <t>Cumulative Cost</t>
        </is>
      </c>
    </row>
    <row r="10">
      <c r="A10" s="5" t="inlineStr">
        <is>
          <t>Month 1</t>
        </is>
      </c>
      <c r="B10" s="6">
        <f>B5*1</f>
        <v/>
      </c>
    </row>
    <row r="11">
      <c r="A11" s="5" t="inlineStr">
        <is>
          <t>Month 2</t>
        </is>
      </c>
      <c r="B11" s="6">
        <f>B5*2</f>
        <v/>
      </c>
    </row>
    <row r="12">
      <c r="A12" s="5" t="inlineStr">
        <is>
          <t>Month 3</t>
        </is>
      </c>
      <c r="B12" s="6">
        <f>B5*3</f>
        <v/>
      </c>
    </row>
    <row r="13">
      <c r="A13" s="5" t="inlineStr">
        <is>
          <t>Month 4</t>
        </is>
      </c>
      <c r="B13" s="6">
        <f>B5*4</f>
        <v/>
      </c>
    </row>
    <row r="14">
      <c r="A14" s="5" t="inlineStr">
        <is>
          <t>Month 5</t>
        </is>
      </c>
      <c r="B14" s="6">
        <f>B5*5</f>
        <v/>
      </c>
    </row>
    <row r="15">
      <c r="A15" s="5" t="inlineStr">
        <is>
          <t>Month 6</t>
        </is>
      </c>
      <c r="B15" s="6">
        <f>B5*6</f>
        <v/>
      </c>
    </row>
    <row r="16">
      <c r="A16" s="5" t="inlineStr">
        <is>
          <t>Month 7</t>
        </is>
      </c>
      <c r="B16" s="6">
        <f>B5*7</f>
        <v/>
      </c>
    </row>
    <row r="17">
      <c r="A17" s="5" t="inlineStr">
        <is>
          <t>Month 8</t>
        </is>
      </c>
      <c r="B17" s="6">
        <f>B5*8</f>
        <v/>
      </c>
    </row>
    <row r="18">
      <c r="A18" s="5" t="inlineStr">
        <is>
          <t>Month 9</t>
        </is>
      </c>
      <c r="B18" s="6">
        <f>B5*9</f>
        <v/>
      </c>
    </row>
    <row r="19">
      <c r="A19" s="5" t="inlineStr">
        <is>
          <t>Month 10</t>
        </is>
      </c>
      <c r="B19" s="6">
        <f>B5*10</f>
        <v/>
      </c>
    </row>
    <row r="20">
      <c r="A20" s="5" t="inlineStr">
        <is>
          <t>Month 11</t>
        </is>
      </c>
      <c r="B20" s="6">
        <f>B5*11</f>
        <v/>
      </c>
    </row>
    <row r="21">
      <c r="A21" s="5" t="inlineStr">
        <is>
          <t>Month 12</t>
        </is>
      </c>
      <c r="B21" s="6">
        <f>B5*12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24" customWidth="1" min="4" max="4"/>
    <col width="70" customWidth="1" min="5" max="5"/>
  </cols>
  <sheetData>
    <row r="1" ht="24" customHeight="1">
      <c r="A1" s="1" t="inlineStr">
        <is>
          <t>Audit Log</t>
        </is>
      </c>
    </row>
    <row r="2">
      <c r="A2" s="2" t="inlineStr">
        <is>
          <t>24 recorded decisions for estimate 29a7499f-7115-40c9-89d9-89d9dc390137.</t>
        </is>
      </c>
    </row>
    <row r="3"/>
    <row r="4" ht="20" customHeight="1">
      <c r="A4" s="4" t="inlineStr">
        <is>
          <t>Timestamp (UTC)</t>
        </is>
      </c>
      <c r="B4" s="4" t="inlineStr">
        <is>
          <t>Actor</t>
        </is>
      </c>
      <c r="C4" s="4" t="inlineStr">
        <is>
          <t>Action</t>
        </is>
      </c>
      <c r="D4" s="4" t="inlineStr">
        <is>
          <t>Field</t>
        </is>
      </c>
      <c r="E4" s="4" t="inlineStr">
        <is>
          <t>Detail</t>
        </is>
      </c>
    </row>
    <row r="5">
      <c r="A5" s="5" t="inlineStr">
        <is>
          <t>2026-08-05 15:08:30</t>
        </is>
      </c>
      <c r="B5" s="5" t="inlineStr">
        <is>
          <t>system</t>
        </is>
      </c>
      <c r="C5" s="5" t="inlineStr">
        <is>
          <t>pipeline_start</t>
        </is>
      </c>
      <c r="D5" s="5" t="inlineStr">
        <is>
          <t>-</t>
        </is>
      </c>
      <c r="E5" s="5" t="inlineStr">
        <is>
          <t>Estimate requested for project 'Retail Inventory API'.</t>
        </is>
      </c>
    </row>
    <row r="6">
      <c r="A6" s="5" t="inlineStr">
        <is>
          <t>2026-08-05 15:08:30</t>
        </is>
      </c>
      <c r="B6" s="5" t="inlineStr">
        <is>
          <t>system</t>
        </is>
      </c>
      <c r="C6" s="5" t="inlineStr">
        <is>
          <t>validation</t>
        </is>
      </c>
      <c r="D6" s="5" t="inlineStr">
        <is>
          <t>compute.vcpu</t>
        </is>
      </c>
      <c r="E6" s="5" t="inlineStr">
        <is>
          <t>3 vCPU does not exist as a standard configuration in the e2 family. Valid options: [1, 2, 4, 8, 16, 32].</t>
        </is>
      </c>
    </row>
    <row r="7">
      <c r="A7" s="5" t="inlineStr">
        <is>
          <t>2026-08-05 15:08:30</t>
        </is>
      </c>
      <c r="B7" s="5" t="inlineStr">
        <is>
          <t>system</t>
        </is>
      </c>
      <c r="C7" s="5" t="inlineStr">
        <is>
          <t>validation</t>
        </is>
      </c>
      <c r="D7" s="5" t="inlineStr">
        <is>
          <t>compute.ram_gb</t>
        </is>
      </c>
      <c r="E7" s="5" t="inlineStr">
        <is>
          <t>10.0 GB RAM is not offered as a standalone configuration in the e2 family. Valid RAM values: [1.0, 2.0, 4.0, 8.0, 16.0, 32.0, 64.0, 128.0].</t>
        </is>
      </c>
    </row>
    <row r="8">
      <c r="A8" s="5" t="inlineStr">
        <is>
          <t>2026-08-05 15:08:30</t>
        </is>
      </c>
      <c r="B8" s="5" t="inlineStr">
        <is>
          <t>system</t>
        </is>
      </c>
      <c r="C8" s="5" t="inlineStr">
        <is>
          <t>validation</t>
        </is>
      </c>
      <c r="D8" s="5" t="inlineStr">
        <is>
          <t>compute.machine_family</t>
        </is>
      </c>
      <c r="E8" s="5" t="inlineStr">
        <is>
          <t>No exact 'e2' machine type offers 3 vCPU with 10.0 GB RAM together.</t>
        </is>
      </c>
    </row>
    <row r="9">
      <c r="A9" s="5" t="inlineStr">
        <is>
          <t>2026-08-05 15:08:30</t>
        </is>
      </c>
      <c r="B9" s="5" t="inlineStr">
        <is>
          <t>system</t>
        </is>
      </c>
      <c r="C9" s="5" t="inlineStr">
        <is>
          <t>validation</t>
        </is>
      </c>
      <c r="D9" s="5" t="inlineStr">
        <is>
          <t>region</t>
        </is>
      </c>
      <c r="E9" s="5" t="inlineStr">
        <is>
          <t>'us-central1' is a supported Google Cloud region.</t>
        </is>
      </c>
    </row>
    <row r="10">
      <c r="A10" s="5" t="inlineStr">
        <is>
          <t>2026-08-05 15:08:30</t>
        </is>
      </c>
      <c r="B10" s="5" t="inlineStr">
        <is>
          <t>system</t>
        </is>
      </c>
      <c r="C10" s="5" t="inlineStr">
        <is>
          <t>validation</t>
        </is>
      </c>
      <c r="D10" s="5" t="inlineStr">
        <is>
          <t>storage.size_gb</t>
        </is>
      </c>
      <c r="E10" s="5" t="inlineStr">
        <is>
          <t>157 GB is within the valid range for 'pd-balanced'.</t>
        </is>
      </c>
    </row>
    <row r="11">
      <c r="A11" s="5" t="inlineStr">
        <is>
          <t>2026-08-05 15:08:30</t>
        </is>
      </c>
      <c r="B11" s="5" t="inlineStr">
        <is>
          <t>system</t>
        </is>
      </c>
      <c r="C11" s="5" t="inlineStr">
        <is>
          <t>validation</t>
        </is>
      </c>
      <c r="D11" s="5" t="inlineStr">
        <is>
          <t>storage.snapshot_retention_days</t>
        </is>
      </c>
      <c r="E11" s="5" t="inlineStr">
        <is>
          <t>Snapshot retention period is within a typical operational range.</t>
        </is>
      </c>
    </row>
    <row r="12">
      <c r="A12" s="5" t="inlineStr">
        <is>
          <t>2026-08-05 15:08:30</t>
        </is>
      </c>
      <c r="B12" s="5" t="inlineStr">
        <is>
          <t>system</t>
        </is>
      </c>
      <c r="C12" s="5" t="inlineStr">
        <is>
          <t>validation</t>
        </is>
      </c>
      <c r="D12" s="5" t="inlineStr">
        <is>
          <t>database.vcpu_ram</t>
        </is>
      </c>
      <c r="E12" s="5" t="inlineStr">
        <is>
          <t>Matches Cloud SQL tier 'db-custom-2-8192'.</t>
        </is>
      </c>
    </row>
    <row r="13">
      <c r="A13" s="5" t="inlineStr">
        <is>
          <t>2026-08-05 15:08:30</t>
        </is>
      </c>
      <c r="B13" s="5" t="inlineStr">
        <is>
          <t>system</t>
        </is>
      </c>
      <c r="C13" s="5" t="inlineStr">
        <is>
          <t>validation</t>
        </is>
      </c>
      <c r="D13" s="5" t="inlineStr">
        <is>
          <t>network.load_balancer</t>
        </is>
      </c>
      <c r="E13" s="5" t="inlineStr">
        <is>
          <t>Load balancer / CDN configuration is internally consistent.</t>
        </is>
      </c>
    </row>
    <row r="14">
      <c r="A14" s="5" t="inlineStr">
        <is>
          <t>2026-08-05 15:08:30</t>
        </is>
      </c>
      <c r="B14" s="5" t="inlineStr">
        <is>
          <t>system</t>
        </is>
      </c>
      <c r="C14" s="5" t="inlineStr">
        <is>
          <t>validation</t>
        </is>
      </c>
      <c r="D14" s="5" t="inlineStr">
        <is>
          <t>network.estimated_egress_gb_per_month</t>
        </is>
      </c>
      <c r="E14" s="5" t="inlineStr">
        <is>
          <t>Egress volume is within typical ranges.</t>
        </is>
      </c>
    </row>
    <row r="15">
      <c r="A15" s="5" t="inlineStr">
        <is>
          <t>2026-08-05 15:08:30</t>
        </is>
      </c>
      <c r="B15" s="5" t="inlineStr">
        <is>
          <t>system</t>
        </is>
      </c>
      <c r="C15" s="5" t="inlineStr">
        <is>
          <t>validation</t>
        </is>
      </c>
      <c r="D15" s="5" t="inlineStr">
        <is>
          <t>availability.target_uptime_percent</t>
        </is>
      </c>
      <c r="E15" s="5" t="inlineStr">
        <is>
          <t>Uptime target is achievable with the requested configuration.</t>
        </is>
      </c>
    </row>
    <row r="16">
      <c r="A16" s="5" t="inlineStr">
        <is>
          <t>2026-08-05 15:08:30</t>
        </is>
      </c>
      <c r="B16" s="5" t="inlineStr">
        <is>
          <t>system</t>
        </is>
      </c>
      <c r="C16" s="5" t="inlineStr">
        <is>
          <t>validation</t>
        </is>
      </c>
      <c r="D16" s="5" t="inlineStr">
        <is>
          <t>availability.backup_frequency</t>
        </is>
      </c>
      <c r="E16" s="5" t="inlineStr">
        <is>
          <t>Backup configuration is consistent with stated recovery requirements.</t>
        </is>
      </c>
    </row>
    <row r="17">
      <c r="A17" s="5" t="inlineStr">
        <is>
          <t>2026-08-05 15:08:30</t>
        </is>
      </c>
      <c r="B17" s="5" t="inlineStr">
        <is>
          <t>normalization_engine</t>
        </is>
      </c>
      <c r="C17" s="5" t="inlineStr">
        <is>
          <t>normalization</t>
        </is>
      </c>
      <c r="D17" s="5" t="inlineStr">
        <is>
          <t>compute.vcpu</t>
        </is>
      </c>
      <c r="E17" s="5" t="inlineStr">
        <is>
          <t>3 vCPU configuration does not exist in the e2 family. Selected nearest higher supported value (performance strategy).</t>
        </is>
      </c>
    </row>
    <row r="18">
      <c r="A18" s="5" t="inlineStr">
        <is>
          <t>2026-08-05 15:08:30</t>
        </is>
      </c>
      <c r="B18" s="5" t="inlineStr">
        <is>
          <t>normalization_engine</t>
        </is>
      </c>
      <c r="C18" s="5" t="inlineStr">
        <is>
          <t>normalization</t>
        </is>
      </c>
      <c r="D18" s="5" t="inlineStr">
        <is>
          <t>compute.ram_gb</t>
        </is>
      </c>
      <c r="E18" s="5" t="inlineStr">
        <is>
          <t>RAM is fixed per machine type in the e2 family; 'e2-standard-4' provides 16.0 GB.</t>
        </is>
      </c>
    </row>
    <row r="19">
      <c r="A19" s="5" t="inlineStr">
        <is>
          <t>2026-08-05 15:08:30</t>
        </is>
      </c>
      <c r="B19" s="5" t="inlineStr">
        <is>
          <t>system</t>
        </is>
      </c>
      <c r="C19" s="5" t="inlineStr">
        <is>
          <t>architecture_recommendation</t>
        </is>
      </c>
      <c r="D19" s="5" t="inlineStr">
        <is>
          <t>-</t>
        </is>
      </c>
      <c r="E19" s="5" t="inlineStr">
        <is>
          <t>Recommended architecture for 'Retail Inventory API' in us-central1: 11 components spanning Backend, Backup, Database, Disaster Recovery, Load Balancer, Monitoring, Networking, Security, Storage.</t>
        </is>
      </c>
    </row>
    <row r="20">
      <c r="A20" s="5" t="inlineStr">
        <is>
          <t>2026-08-05 15:08:30</t>
        </is>
      </c>
      <c r="B20" s="5" t="inlineStr">
        <is>
          <t>system</t>
        </is>
      </c>
      <c r="C20" s="5" t="inlineStr">
        <is>
          <t>pricing_lookup</t>
        </is>
      </c>
      <c r="D20" s="5" t="inlineStr">
        <is>
          <t>Compute</t>
        </is>
      </c>
      <c r="E20" s="5" t="inlineStr">
        <is>
          <t>e2-standard-4 x 2 instance(s) (us-central1): 188.75 USD/month</t>
        </is>
      </c>
    </row>
    <row r="21">
      <c r="A21" s="5" t="inlineStr">
        <is>
          <t>2026-08-05 15:08:30</t>
        </is>
      </c>
      <c r="B21" s="5" t="inlineStr">
        <is>
          <t>system</t>
        </is>
      </c>
      <c r="C21" s="5" t="inlineStr">
        <is>
          <t>pricing_lookup</t>
        </is>
      </c>
      <c r="D21" s="5" t="inlineStr">
        <is>
          <t>Storage</t>
        </is>
      </c>
      <c r="E21" s="5" t="inlineStr">
        <is>
          <t>pd-balanced 157 GB x 2 disk(s) (us-central1): 31.4 USD/month</t>
        </is>
      </c>
    </row>
    <row r="22">
      <c r="A22" s="5" t="inlineStr">
        <is>
          <t>2026-08-05 15:08:30</t>
        </is>
      </c>
      <c r="B22" s="5" t="inlineStr">
        <is>
          <t>system</t>
        </is>
      </c>
      <c r="C22" s="5" t="inlineStr">
        <is>
          <t>pricing_lookup</t>
        </is>
      </c>
      <c r="D22" s="5" t="inlineStr">
        <is>
          <t>Storage</t>
        </is>
      </c>
      <c r="E22" s="5" t="inlineStr">
        <is>
          <t>Persistent disk snapshots, 14-day retention: 8.16 USD/month</t>
        </is>
      </c>
    </row>
    <row r="23">
      <c r="A23" s="5" t="inlineStr">
        <is>
          <t>2026-08-05 15:08:30</t>
        </is>
      </c>
      <c r="B23" s="5" t="inlineStr">
        <is>
          <t>system</t>
        </is>
      </c>
      <c r="C23" s="5" t="inlineStr">
        <is>
          <t>pricing_lookup</t>
        </is>
      </c>
      <c r="D23" s="5" t="inlineStr">
        <is>
          <t>Database</t>
        </is>
      </c>
      <c r="E23" s="5" t="inlineStr">
        <is>
          <t>Cloud SQL db-custom-2-8192 (High Availability - synchronous standby) (us-central1): 177.83 USD/month</t>
        </is>
      </c>
    </row>
    <row r="24">
      <c r="A24" s="5" t="inlineStr">
        <is>
          <t>2026-08-05 15:08:30</t>
        </is>
      </c>
      <c r="B24" s="5" t="inlineStr">
        <is>
          <t>system</t>
        </is>
      </c>
      <c r="C24" s="5" t="inlineStr">
        <is>
          <t>pricing_lookup</t>
        </is>
      </c>
      <c r="D24" s="5" t="inlineStr">
        <is>
          <t>Database</t>
        </is>
      </c>
      <c r="E24" s="5" t="inlineStr">
        <is>
          <t>Cloud SQL storage 100 GB (us-central1): 17.0 USD/month</t>
        </is>
      </c>
    </row>
    <row r="25">
      <c r="A25" s="5" t="inlineStr">
        <is>
          <t>2026-08-05 15:08:30</t>
        </is>
      </c>
      <c r="B25" s="5" t="inlineStr">
        <is>
          <t>system</t>
        </is>
      </c>
      <c r="C25" s="5" t="inlineStr">
        <is>
          <t>pricing_lookup</t>
        </is>
      </c>
      <c r="D25" s="5" t="inlineStr">
        <is>
          <t>Network</t>
        </is>
      </c>
      <c r="E25" s="5" t="inlineStr">
        <is>
          <t>Internet egress, 500 GB/month: 60.0 USD/month</t>
        </is>
      </c>
    </row>
    <row r="26">
      <c r="A26" s="5" t="inlineStr">
        <is>
          <t>2026-08-05 15:08:30</t>
        </is>
      </c>
      <c r="B26" s="5" t="inlineStr">
        <is>
          <t>system</t>
        </is>
      </c>
      <c r="C26" s="5" t="inlineStr">
        <is>
          <t>pricing_lookup</t>
        </is>
      </c>
      <c r="D26" s="5" t="inlineStr">
        <is>
          <t>Network</t>
        </is>
      </c>
      <c r="E26" s="5" t="inlineStr">
        <is>
          <t>External HTTP(S) Load Balancer (us-central1): 18.25 USD/month</t>
        </is>
      </c>
    </row>
    <row r="27">
      <c r="A27" s="5" t="inlineStr">
        <is>
          <t>2026-08-05 15:08:30</t>
        </is>
      </c>
      <c r="B27" s="5" t="inlineStr">
        <is>
          <t>system</t>
        </is>
      </c>
      <c r="C27" s="5" t="inlineStr">
        <is>
          <t>discount_applied</t>
        </is>
      </c>
      <c r="D27" s="5" t="inlineStr">
        <is>
          <t>-</t>
        </is>
      </c>
      <c r="E27" s="5" t="inlineStr">
        <is>
          <t>Sustained Use Discount: -37.75 USD/month (20.0%)</t>
        </is>
      </c>
    </row>
    <row r="28">
      <c r="A28" s="5" t="inlineStr">
        <is>
          <t>2026-08-05 15:08:30</t>
        </is>
      </c>
      <c r="B28" s="5" t="inlineStr">
        <is>
          <t>system</t>
        </is>
      </c>
      <c r="C28" s="5" t="inlineStr">
        <is>
          <t>pipeline_complete</t>
        </is>
      </c>
      <c r="D28" s="5" t="inlineStr">
        <is>
          <t>-</t>
        </is>
      </c>
      <c r="E28" s="5" t="inlineStr">
        <is>
          <t>Estimate generated: 463.64 USD/month.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2026-08-05T15:08:30Z</dcterms:created>
  <dcterms:modified xmlns:dcterms="http://purl.org/dc/terms/" xmlns:xsi="http://www.w3.org/2001/XMLSchema-instance" xsi:type="dcterms:W3CDTF">2026-08-05T15:08:30Z</dcterms:modified>
</cp:coreProperties>
</file>